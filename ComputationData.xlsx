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1580a8ecfa9755/Documents/GitHub/LFSR-Research/"/>
    </mc:Choice>
  </mc:AlternateContent>
  <xr:revisionPtr revIDLastSave="216" documentId="8_{332282E7-26CB-476A-93FC-FEF1924633F1}" xr6:coauthVersionLast="47" xr6:coauthVersionMax="47" xr10:uidLastSave="{41916249-7D20-436E-8F41-69616D7117E2}"/>
  <bookViews>
    <workbookView xWindow="-108" yWindow="-108" windowWidth="23256" windowHeight="13896" xr2:uid="{1F3D20C0-FD03-43D0-AC57-8A2190F0F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F5" i="1"/>
  <c r="F3" i="1"/>
  <c r="J3" i="1" s="1"/>
  <c r="D7" i="1"/>
  <c r="D6" i="1"/>
  <c r="D5" i="1"/>
  <c r="D4" i="1"/>
  <c r="D3" i="1"/>
  <c r="I3" i="1" s="1"/>
  <c r="E7" i="1"/>
  <c r="E6" i="1"/>
  <c r="F7" i="1" s="1"/>
  <c r="E5" i="1"/>
  <c r="E4" i="1"/>
  <c r="E3" i="1"/>
  <c r="F4" i="1" s="1"/>
  <c r="J4" i="1" s="1"/>
  <c r="E2" i="1"/>
  <c r="J2" i="1"/>
  <c r="I2" i="1"/>
  <c r="J5" i="1" l="1"/>
  <c r="I4" i="1"/>
  <c r="I5" i="1" s="1"/>
  <c r="I6" i="1" s="1"/>
  <c r="I7" i="1" s="1"/>
  <c r="K3" i="1"/>
  <c r="F6" i="1"/>
  <c r="J6" i="1" s="1"/>
  <c r="K6" i="1" l="1"/>
  <c r="K5" i="1"/>
  <c r="K4" i="1"/>
  <c r="J7" i="1"/>
  <c r="K7" i="1" s="1"/>
</calcChain>
</file>

<file path=xl/sharedStrings.xml><?xml version="1.0" encoding="utf-8"?>
<sst xmlns="http://schemas.openxmlformats.org/spreadsheetml/2006/main" count="12" uniqueCount="9">
  <si>
    <t>Sample Size</t>
  </si>
  <si>
    <t>Mean Time (secs)</t>
  </si>
  <si>
    <t>% Change</t>
  </si>
  <si>
    <t>-</t>
  </si>
  <si>
    <t>O(n^2) (Berlekamp-Massey)</t>
  </si>
  <si>
    <t>Tarter-Herasymov-Priebracha Algorithm</t>
  </si>
  <si>
    <t>Berlekamp-Massey Algorithm</t>
  </si>
  <si>
    <t># of Bits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</si>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</sst>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FFFF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10" fontId="1" fillId="2" borderId="5" xfId="0" applyNumberFormat="1" applyFont="1" applyFill="1" applyBorder="1"/>
    <xf numFmtId="0" fontId="1" fillId="2" borderId="6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10" fontId="1" fillId="2" borderId="0" xfId="0" applyNumberFormat="1" applyFont="1" applyFill="1" applyBorder="1"/>
    <xf numFmtId="0" fontId="1" fillId="2" borderId="7" xfId="0" applyFont="1" applyFill="1" applyBorder="1"/>
    <xf numFmtId="10" fontId="1" fillId="2" borderId="8" xfId="0" applyNumberFormat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10" fontId="1" fillId="2" borderId="4" xfId="0" applyNumberFormat="1" applyFont="1" applyFill="1" applyBorder="1"/>
    <xf numFmtId="10" fontId="1" fillId="2" borderId="6" xfId="0" applyNumberFormat="1" applyFont="1" applyFill="1" applyBorder="1"/>
    <xf numFmtId="10" fontId="1" fillId="2" borderId="7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Seconds</a:t>
            </a:r>
            <a:r>
              <a:rPr lang="en-US" baseline="0"/>
              <a:t> of Computation Per 'n' Bits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Tarter-Herasymov-Priebracha Algorithm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</c:numCache>
            </c:numRef>
          </c:cat>
          <c:val>
            <c:numRef>
              <c:f>Sheet1!$I$2:$I$7</c:f>
              <c:numCache>
                <c:formatCode>General</c:formatCode>
                <c:ptCount val="6"/>
                <c:pt idx="0">
                  <c:v>1.3114539999999999E-4</c:v>
                </c:pt>
                <c:pt idx="1">
                  <c:v>4.4442560000000002E-4</c:v>
                </c:pt>
                <c:pt idx="2">
                  <c:v>4.2838947199999996E-3</c:v>
                </c:pt>
                <c:pt idx="3">
                  <c:v>3.947757348E-2</c:v>
                </c:pt>
                <c:pt idx="4">
                  <c:v>0.38916964316000008</c:v>
                </c:pt>
                <c:pt idx="5">
                  <c:v>4.6873352859600006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6-4405-81E5-7CC17AD33C56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Berlekamp-Massey Algorithm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</c:numCache>
            </c:numRef>
          </c:cat>
          <c:val>
            <c:numRef>
              <c:f>Sheet1!$J$2:$J$7</c:f>
              <c:numCache>
                <c:formatCode>General</c:formatCode>
                <c:ptCount val="6"/>
                <c:pt idx="0">
                  <c:v>1.3114539999999999E-4</c:v>
                </c:pt>
                <c:pt idx="1">
                  <c:v>1.3114539999999999E-2</c:v>
                </c:pt>
                <c:pt idx="2">
                  <c:v>1.3114539999999999</c:v>
                </c:pt>
                <c:pt idx="3">
                  <c:v>131.1454</c:v>
                </c:pt>
                <c:pt idx="4">
                  <c:v>13114.539999999999</c:v>
                </c:pt>
                <c:pt idx="5">
                  <c:v>1311454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D6-4405-81E5-7CC17AD33C5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386047"/>
        <c:axId val="969386527"/>
      </c:lineChart>
      <c:catAx>
        <c:axId val="96938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86527"/>
        <c:crosses val="autoZero"/>
        <c:auto val="1"/>
        <c:lblAlgn val="ctr"/>
        <c:lblOffset val="100"/>
        <c:noMultiLvlLbl val="0"/>
      </c:catAx>
      <c:valAx>
        <c:axId val="9693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86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Difference Between Berlekamp-Massey</a:t>
            </a:r>
            <a:r>
              <a:rPr lang="en-US" baseline="0"/>
              <a:t> and THP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Difference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Sheet1!$A$2:$A$7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</c:numCache>
            </c:numRef>
          </c:cat>
          <c:val>
            <c:numRef>
              <c:f>Sheet1!$K$2:$K$7</c:f>
              <c:numCache>
                <c:formatCode>General</c:formatCode>
                <c:ptCount val="6"/>
                <c:pt idx="0">
                  <c:v>0</c:v>
                </c:pt>
                <c:pt idx="1">
                  <c:v>1.26701144E-2</c:v>
                </c:pt>
                <c:pt idx="2">
                  <c:v>1.30717010528</c:v>
                </c:pt>
                <c:pt idx="3">
                  <c:v>131.10592242651998</c:v>
                </c:pt>
                <c:pt idx="4">
                  <c:v>13114.150830356839</c:v>
                </c:pt>
                <c:pt idx="5">
                  <c:v>1311449.3126647139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4-49FB-9458-C80DEA5D8C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1318207"/>
        <c:axId val="961320127"/>
      </c:lineChart>
      <c:catAx>
        <c:axId val="961318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20127"/>
        <c:crosses val="autoZero"/>
        <c:auto val="1"/>
        <c:lblAlgn val="ctr"/>
        <c:lblOffset val="100"/>
        <c:noMultiLvlLbl val="0"/>
      </c:catAx>
      <c:valAx>
        <c:axId val="96132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1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3810</xdr:rowOff>
    </xdr:from>
    <xdr:to>
      <xdr:col>9</xdr:col>
      <xdr:colOff>316785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5A8B95-DD85-E6B7-8EDF-7EE2A43E6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16267</xdr:colOff>
      <xdr:row>32</xdr:row>
      <xdr:rowOff>71362</xdr:rowOff>
    </xdr:from>
    <xdr:to>
      <xdr:col>7</xdr:col>
      <xdr:colOff>524838</xdr:colOff>
      <xdr:row>57</xdr:row>
      <xdr:rowOff>136132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965B0F-CAF6-5EBC-EBB3-3654AB6B3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A7D4-8814-4566-A5FA-6FC1745EEF7A}">
  <dimension ref="A1:K10"/>
  <sheetViews>
    <sheetView tabSelected="1" zoomScale="89" zoomScaleNormal="70" workbookViewId="0">
      <selection activeCell="K34" sqref="K34"/>
    </sheetView>
  </sheetViews>
  <sheetFormatPr defaultRowHeight="14.4" x14ac:dyDescent="0.3"/>
  <cols>
    <col min="1" max="1" width="24.33203125" style="1" customWidth="1"/>
    <col min="2" max="2" width="10.6640625" style="1" bestFit="1" customWidth="1"/>
    <col min="3" max="3" width="15.109375" style="1" bestFit="1" customWidth="1"/>
    <col min="4" max="4" width="9.109375" style="1" bestFit="1" customWidth="1"/>
    <col min="5" max="5" width="23.6640625" style="1" bestFit="1" customWidth="1"/>
    <col min="6" max="6" width="10.21875" style="1" bestFit="1" customWidth="1"/>
    <col min="7" max="7" width="8.88671875" style="1"/>
    <col min="8" max="8" width="9" style="1" bestFit="1" customWidth="1"/>
    <col min="9" max="9" width="34.6640625" style="1" bestFit="1" customWidth="1"/>
    <col min="10" max="10" width="24.77734375" style="1" bestFit="1" customWidth="1"/>
    <col min="11" max="11" width="14.6640625" style="1" customWidth="1"/>
    <col min="12" max="16384" width="8.88671875" style="1"/>
  </cols>
  <sheetData>
    <row r="1" spans="1:11" x14ac:dyDescent="0.3">
      <c r="A1" s="20" t="s">
        <v>7</v>
      </c>
      <c r="B1" s="4" t="s">
        <v>0</v>
      </c>
      <c r="C1" s="20" t="s">
        <v>1</v>
      </c>
      <c r="D1" s="20" t="s">
        <v>2</v>
      </c>
      <c r="E1" s="20" t="s">
        <v>4</v>
      </c>
      <c r="F1" s="3" t="s">
        <v>2</v>
      </c>
      <c r="G1" s="20"/>
      <c r="H1" s="20" t="s">
        <v>7</v>
      </c>
      <c r="I1" s="20" t="s">
        <v>5</v>
      </c>
      <c r="J1" s="4" t="s">
        <v>6</v>
      </c>
      <c r="K1" s="16" t="s">
        <v>8</v>
      </c>
    </row>
    <row r="2" spans="1:11" x14ac:dyDescent="0.3">
      <c r="A2" s="5">
        <v>100</v>
      </c>
      <c r="B2" s="14">
        <v>250</v>
      </c>
      <c r="C2" s="6">
        <v>1.3114539999999999E-4</v>
      </c>
      <c r="D2" s="17" t="s">
        <v>3</v>
      </c>
      <c r="E2" s="14">
        <f>A2^2</f>
        <v>10000</v>
      </c>
      <c r="F2" s="7" t="s">
        <v>3</v>
      </c>
      <c r="G2" s="14"/>
      <c r="H2" s="5">
        <v>100</v>
      </c>
      <c r="I2" s="14">
        <f>C2</f>
        <v>1.3114539999999999E-4</v>
      </c>
      <c r="J2" s="5">
        <f>C2</f>
        <v>1.3114539999999999E-4</v>
      </c>
      <c r="K2" s="14">
        <f>J2-I2</f>
        <v>0</v>
      </c>
    </row>
    <row r="3" spans="1:11" x14ac:dyDescent="0.3">
      <c r="A3" s="8">
        <v>1000</v>
      </c>
      <c r="B3" s="15">
        <v>250</v>
      </c>
      <c r="C3" s="10">
        <v>4.4442560000000002E-4</v>
      </c>
      <c r="D3" s="18">
        <f>C3/C2</f>
        <v>3.3888005221685247</v>
      </c>
      <c r="E3" s="15">
        <f>A3^2</f>
        <v>1000000</v>
      </c>
      <c r="F3" s="11">
        <f>E3/E2</f>
        <v>100</v>
      </c>
      <c r="G3" s="15"/>
      <c r="H3" s="8">
        <v>1000</v>
      </c>
      <c r="I3" s="15">
        <f>(D3)*I2</f>
        <v>4.4442560000000002E-4</v>
      </c>
      <c r="J3" s="8">
        <f>(F3)*J2</f>
        <v>1.3114539999999999E-2</v>
      </c>
      <c r="K3" s="15">
        <f t="shared" ref="K3:K7" si="0">J3-I3</f>
        <v>1.26701144E-2</v>
      </c>
    </row>
    <row r="4" spans="1:11" x14ac:dyDescent="0.3">
      <c r="A4" s="8">
        <v>10000</v>
      </c>
      <c r="B4" s="15">
        <v>250</v>
      </c>
      <c r="C4" s="10">
        <v>4.2838947199999996E-3</v>
      </c>
      <c r="D4" s="18">
        <f>C4/C3</f>
        <v>9.6391718208852044</v>
      </c>
      <c r="E4" s="15">
        <f>A4^2</f>
        <v>100000000</v>
      </c>
      <c r="F4" s="11">
        <f>E4/E3</f>
        <v>100</v>
      </c>
      <c r="G4" s="15"/>
      <c r="H4" s="8">
        <v>10000</v>
      </c>
      <c r="I4" s="15">
        <f>(D4)*I3</f>
        <v>4.2838947199999996E-3</v>
      </c>
      <c r="J4" s="8">
        <f>(F4)*J3</f>
        <v>1.3114539999999999</v>
      </c>
      <c r="K4" s="15">
        <f t="shared" si="0"/>
        <v>1.30717010528</v>
      </c>
    </row>
    <row r="5" spans="1:11" x14ac:dyDescent="0.3">
      <c r="A5" s="8">
        <v>100000</v>
      </c>
      <c r="B5" s="15">
        <v>250</v>
      </c>
      <c r="C5" s="10">
        <v>3.947757348E-2</v>
      </c>
      <c r="D5" s="18">
        <f>C5/C4</f>
        <v>9.2153463285857793</v>
      </c>
      <c r="E5" s="15">
        <f>A5^2</f>
        <v>10000000000</v>
      </c>
      <c r="F5" s="11">
        <f>E5/E4</f>
        <v>100</v>
      </c>
      <c r="G5" s="15"/>
      <c r="H5" s="8">
        <v>100000</v>
      </c>
      <c r="I5" s="15">
        <f>(D5)*I4</f>
        <v>3.947757348E-2</v>
      </c>
      <c r="J5" s="8">
        <f>(F5)*J4</f>
        <v>131.1454</v>
      </c>
      <c r="K5" s="15">
        <f t="shared" si="0"/>
        <v>131.10592242651998</v>
      </c>
    </row>
    <row r="6" spans="1:11" x14ac:dyDescent="0.3">
      <c r="A6" s="8">
        <v>1000000</v>
      </c>
      <c r="B6" s="15">
        <v>250</v>
      </c>
      <c r="C6" s="10">
        <v>0.38916964316000002</v>
      </c>
      <c r="D6" s="18">
        <f>C6/C5</f>
        <v>9.8579930034747427</v>
      </c>
      <c r="E6" s="15">
        <f>A6^2</f>
        <v>1000000000000</v>
      </c>
      <c r="F6" s="11">
        <f>E6/E5</f>
        <v>100</v>
      </c>
      <c r="G6" s="15"/>
      <c r="H6" s="8">
        <v>1000000</v>
      </c>
      <c r="I6" s="15">
        <f>(D6)*I5</f>
        <v>0.38916964316000008</v>
      </c>
      <c r="J6" s="8">
        <f>(F6)*J5</f>
        <v>13114.539999999999</v>
      </c>
      <c r="K6" s="15">
        <f t="shared" si="0"/>
        <v>13114.150830356839</v>
      </c>
    </row>
    <row r="7" spans="1:11" x14ac:dyDescent="0.3">
      <c r="A7" s="12">
        <v>10000000</v>
      </c>
      <c r="B7" s="16">
        <v>250</v>
      </c>
      <c r="C7" s="2">
        <v>4.6873352859599997</v>
      </c>
      <c r="D7" s="19">
        <f>C7/C6</f>
        <v>12.044452511505085</v>
      </c>
      <c r="E7" s="16">
        <f>A7^2</f>
        <v>100000000000000</v>
      </c>
      <c r="F7" s="13">
        <f>E7/E6</f>
        <v>100</v>
      </c>
      <c r="G7" s="16"/>
      <c r="H7" s="12">
        <v>10000000</v>
      </c>
      <c r="I7" s="16">
        <f>(D7)*I6</f>
        <v>4.6873352859600006</v>
      </c>
      <c r="J7" s="12">
        <f>(F7)*J6</f>
        <v>1311454</v>
      </c>
      <c r="K7" s="16">
        <f t="shared" si="0"/>
        <v>1311449.3126647139</v>
      </c>
    </row>
    <row r="8" spans="1:11" x14ac:dyDescent="0.3">
      <c r="A8" s="9"/>
      <c r="B8" s="9"/>
      <c r="C8" s="10"/>
      <c r="D8" s="11"/>
      <c r="E8" s="9"/>
      <c r="F8" s="11"/>
      <c r="G8" s="9"/>
      <c r="H8" s="9"/>
      <c r="I8" s="9"/>
      <c r="J8" s="9"/>
      <c r="K8" s="9"/>
    </row>
    <row r="9" spans="1:11" x14ac:dyDescent="0.3">
      <c r="A9" s="9"/>
      <c r="B9" s="9"/>
      <c r="C9" s="10"/>
      <c r="D9" s="11"/>
      <c r="E9" s="9"/>
      <c r="F9" s="11"/>
      <c r="G9" s="9"/>
      <c r="H9" s="9"/>
      <c r="I9" s="9"/>
      <c r="J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Tarter</dc:creator>
  <cp:lastModifiedBy>Timothy Tarter</cp:lastModifiedBy>
  <dcterms:created xsi:type="dcterms:W3CDTF">2025-08-05T02:47:44Z</dcterms:created>
  <dcterms:modified xsi:type="dcterms:W3CDTF">2025-08-05T04:26:33Z</dcterms:modified>
</cp:coreProperties>
</file>